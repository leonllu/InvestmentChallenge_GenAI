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fal\Downloads\"/>
    </mc:Choice>
  </mc:AlternateContent>
  <xr:revisionPtr revIDLastSave="0" documentId="13_ncr:1_{87E8E88F-8936-45D4-8B56-378FE912DAF8}" xr6:coauthVersionLast="47" xr6:coauthVersionMax="47" xr10:uidLastSave="{00000000-0000-0000-0000-000000000000}"/>
  <bookViews>
    <workbookView xWindow="-110" yWindow="-110" windowWidth="19420" windowHeight="10300" xr2:uid="{2C9B16C6-39D2-4A3B-ACE3-771AB1F2FBE6}"/>
  </bookViews>
  <sheets>
    <sheet name="backup over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2" i="1"/>
  <c r="E2" i="1"/>
  <c r="F2" i="1" s="1"/>
  <c r="G2" i="1" s="1"/>
  <c r="J6" i="1"/>
  <c r="J5" i="1"/>
  <c r="E6" i="1"/>
  <c r="F6" i="1" s="1"/>
  <c r="G6" i="1" s="1"/>
  <c r="E7" i="1"/>
  <c r="F7" i="1" s="1"/>
  <c r="G7" i="1" s="1"/>
  <c r="E8" i="1"/>
  <c r="F8" i="1" s="1"/>
  <c r="G8" i="1" s="1"/>
  <c r="E5" i="1"/>
  <c r="F5" i="1" s="1"/>
  <c r="G5" i="1" s="1"/>
  <c r="E4" i="1"/>
  <c r="F4" i="1" s="1"/>
  <c r="G4" i="1" s="1"/>
  <c r="E3" i="1"/>
  <c r="F3" i="1" s="1"/>
  <c r="G3" i="1" s="1"/>
  <c r="L2" i="1" l="1"/>
  <c r="M2" i="1" s="1"/>
  <c r="L6" i="1"/>
  <c r="M6" i="1" s="1"/>
  <c r="L7" i="1"/>
  <c r="M7" i="1" s="1"/>
  <c r="L5" i="1"/>
  <c r="M5" i="1" s="1"/>
  <c r="L3" i="1"/>
  <c r="M3" i="1" s="1"/>
  <c r="L8" i="1"/>
  <c r="M8" i="1" s="1"/>
  <c r="L4" i="1"/>
  <c r="M4" i="1" s="1"/>
  <c r="G9" i="1"/>
  <c r="M9" i="1" l="1"/>
</calcChain>
</file>

<file path=xl/sharedStrings.xml><?xml version="1.0" encoding="utf-8"?>
<sst xmlns="http://schemas.openxmlformats.org/spreadsheetml/2006/main" count="23" uniqueCount="23">
  <si>
    <t>Tesla</t>
  </si>
  <si>
    <t>AMD</t>
  </si>
  <si>
    <t>TENCENT</t>
  </si>
  <si>
    <t>ALIBABA</t>
  </si>
  <si>
    <t>SOFTBANK</t>
  </si>
  <si>
    <t>KEYENCE</t>
  </si>
  <si>
    <t>Stock</t>
  </si>
  <si>
    <t>EURO</t>
  </si>
  <si>
    <t>HKD</t>
  </si>
  <si>
    <t>JPY</t>
  </si>
  <si>
    <t>Total</t>
  </si>
  <si>
    <t>NVDIA</t>
  </si>
  <si>
    <t>source price in original currency_04.11.2025</t>
  </si>
  <si>
    <t>currency change to EUR_04.11.2025</t>
  </si>
  <si>
    <t>price in EUR_04.11.2025</t>
  </si>
  <si>
    <t>shares_04.11.2025</t>
  </si>
  <si>
    <t>Worth_04.11.2025</t>
  </si>
  <si>
    <t>Worth in Euro_24.10.2025</t>
  </si>
  <si>
    <t>shares_24.10.2025</t>
  </si>
  <si>
    <t>share price in EUR_24.10.2025</t>
  </si>
  <si>
    <t>currency change_24.10.2025</t>
  </si>
  <si>
    <t>source price in_24.10.2025
 original currency</t>
  </si>
  <si>
    <t>Investment at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</si>
</sst>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0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DBE0-EF35-4907-A7A1-637FDE04F557}">
  <dimension ref="A1:M12"/>
  <sheetViews>
    <sheetView tabSelected="1" workbookViewId="0">
      <selection activeCell="F12" sqref="F12"/>
    </sheetView>
  </sheetViews>
  <sheetFormatPr defaultRowHeight="14.5" x14ac:dyDescent="0.35"/>
  <cols>
    <col min="1" max="1" width="9.54296875" bestFit="1" customWidth="1"/>
    <col min="2" max="2" width="9.81640625" bestFit="1" customWidth="1"/>
    <col min="3" max="3" width="16.26953125" customWidth="1"/>
    <col min="4" max="4" width="14.26953125" bestFit="1" customWidth="1"/>
    <col min="5" max="5" width="10.453125" bestFit="1" customWidth="1"/>
    <col min="6" max="6" width="11.81640625" bestFit="1" customWidth="1"/>
    <col min="7" max="7" width="12.36328125" customWidth="1"/>
    <col min="8" max="8" width="12.36328125" style="8" customWidth="1"/>
    <col min="9" max="9" width="10.81640625" bestFit="1" customWidth="1"/>
    <col min="10" max="10" width="14.26953125" bestFit="1" customWidth="1"/>
    <col min="11" max="11" width="10.453125" bestFit="1" customWidth="1"/>
    <col min="12" max="12" width="6.26953125" bestFit="1" customWidth="1"/>
    <col min="13" max="13" width="5.7265625" bestFit="1" customWidth="1"/>
  </cols>
  <sheetData>
    <row r="1" spans="1:13" ht="58" x14ac:dyDescent="0.35">
      <c r="A1" t="s">
        <v>6</v>
      </c>
      <c r="B1" t="s">
        <v>22</v>
      </c>
      <c r="C1" s="6" t="s">
        <v>21</v>
      </c>
      <c r="D1" t="s">
        <v>20</v>
      </c>
      <c r="E1" t="s">
        <v>19</v>
      </c>
      <c r="F1" t="s">
        <v>18</v>
      </c>
      <c r="G1" t="s">
        <v>17</v>
      </c>
      <c r="I1" s="6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35">
      <c r="A2" t="s">
        <v>0</v>
      </c>
      <c r="B2">
        <v>200</v>
      </c>
      <c r="C2" s="7">
        <v>434.09</v>
      </c>
      <c r="D2" s="1">
        <v>0.86</v>
      </c>
      <c r="E2">
        <f>C2*D2</f>
        <v>373.31739999999996</v>
      </c>
      <c r="F2">
        <f>B2/E2</f>
        <v>0.53573715021051793</v>
      </c>
      <c r="G2">
        <f>F2*E2</f>
        <v>200</v>
      </c>
      <c r="I2">
        <v>454.17</v>
      </c>
      <c r="J2" s="1">
        <v>0.87</v>
      </c>
      <c r="K2">
        <f>I2*J2</f>
        <v>395.12790000000001</v>
      </c>
      <c r="L2">
        <f>F2</f>
        <v>0.53573715021051793</v>
      </c>
      <c r="M2">
        <f>L2*K2</f>
        <v>211.68469511466651</v>
      </c>
    </row>
    <row r="3" spans="1:13" x14ac:dyDescent="0.35">
      <c r="A3" t="s">
        <v>11</v>
      </c>
      <c r="B3">
        <v>200</v>
      </c>
      <c r="C3" s="7">
        <v>185.04</v>
      </c>
      <c r="D3" s="1">
        <v>0.86</v>
      </c>
      <c r="E3">
        <f>C3*D3</f>
        <v>159.1344</v>
      </c>
      <c r="F3">
        <f t="shared" ref="F3:F8" si="0">B3/E3</f>
        <v>1.2567992841271278</v>
      </c>
      <c r="G3">
        <f t="shared" ref="G3:G8" si="1">F3*E3</f>
        <v>200</v>
      </c>
      <c r="I3">
        <v>201.81</v>
      </c>
      <c r="J3" s="1">
        <v>0.87</v>
      </c>
      <c r="K3">
        <f t="shared" ref="K3:K8" si="2">I3*J3</f>
        <v>175.57470000000001</v>
      </c>
      <c r="L3">
        <f t="shared" ref="L3:L8" si="3">F3</f>
        <v>1.2567992841271278</v>
      </c>
      <c r="M3">
        <f t="shared" ref="M3:M8" si="4">L3*K3</f>
        <v>220.66215727083525</v>
      </c>
    </row>
    <row r="4" spans="1:13" x14ac:dyDescent="0.35">
      <c r="A4" t="s">
        <v>1</v>
      </c>
      <c r="B4">
        <v>100</v>
      </c>
      <c r="C4" s="7">
        <v>251.2</v>
      </c>
      <c r="D4" s="1">
        <v>0.86</v>
      </c>
      <c r="E4">
        <f>C4*D4</f>
        <v>216.03199999999998</v>
      </c>
      <c r="F4">
        <f t="shared" si="0"/>
        <v>0.46289438601688643</v>
      </c>
      <c r="G4">
        <f t="shared" si="1"/>
        <v>100</v>
      </c>
      <c r="I4">
        <v>255.84</v>
      </c>
      <c r="J4" s="1">
        <v>0.87</v>
      </c>
      <c r="K4">
        <f t="shared" si="2"/>
        <v>222.58080000000001</v>
      </c>
      <c r="L4">
        <f t="shared" si="3"/>
        <v>0.46289438601688643</v>
      </c>
      <c r="M4">
        <f t="shared" si="4"/>
        <v>103.0314027551474</v>
      </c>
    </row>
    <row r="5" spans="1:13" x14ac:dyDescent="0.35">
      <c r="A5" t="s">
        <v>2</v>
      </c>
      <c r="B5">
        <v>150</v>
      </c>
      <c r="C5" s="7">
        <v>637500</v>
      </c>
      <c r="D5" s="2">
        <v>0.11</v>
      </c>
      <c r="E5">
        <f>C5*D5</f>
        <v>70125</v>
      </c>
      <c r="F5">
        <f t="shared" si="0"/>
        <v>2.1390374331550803E-3</v>
      </c>
      <c r="G5">
        <f t="shared" si="1"/>
        <v>150</v>
      </c>
      <c r="I5">
        <v>629000</v>
      </c>
      <c r="J5" s="2">
        <f>D5</f>
        <v>0.11</v>
      </c>
      <c r="K5">
        <f t="shared" si="2"/>
        <v>69190</v>
      </c>
      <c r="L5">
        <f t="shared" si="3"/>
        <v>2.1390374331550803E-3</v>
      </c>
      <c r="M5">
        <f t="shared" si="4"/>
        <v>148</v>
      </c>
    </row>
    <row r="6" spans="1:13" x14ac:dyDescent="0.35">
      <c r="A6" t="s">
        <v>3</v>
      </c>
      <c r="B6">
        <v>150</v>
      </c>
      <c r="C6" s="7">
        <v>168300</v>
      </c>
      <c r="D6" s="2">
        <v>0.11</v>
      </c>
      <c r="E6">
        <f t="shared" ref="E6:E8" si="5">C6*D6</f>
        <v>18513</v>
      </c>
      <c r="F6">
        <f t="shared" si="0"/>
        <v>8.1024145195268196E-3</v>
      </c>
      <c r="G6">
        <f t="shared" si="1"/>
        <v>150</v>
      </c>
      <c r="I6">
        <v>159000</v>
      </c>
      <c r="J6" s="2">
        <f>D6</f>
        <v>0.11</v>
      </c>
      <c r="K6">
        <f t="shared" si="2"/>
        <v>17490</v>
      </c>
      <c r="L6">
        <f t="shared" si="3"/>
        <v>8.1024145195268196E-3</v>
      </c>
      <c r="M6">
        <f t="shared" si="4"/>
        <v>141.71122994652407</v>
      </c>
    </row>
    <row r="7" spans="1:13" x14ac:dyDescent="0.35">
      <c r="A7" t="s">
        <v>4</v>
      </c>
      <c r="B7">
        <v>100</v>
      </c>
      <c r="C7" s="7">
        <v>23880</v>
      </c>
      <c r="D7" s="3">
        <v>5.5999999999999999E-3</v>
      </c>
      <c r="E7">
        <f t="shared" si="5"/>
        <v>133.72800000000001</v>
      </c>
      <c r="F7">
        <f t="shared" si="0"/>
        <v>0.74778655180665221</v>
      </c>
      <c r="G7">
        <f t="shared" si="1"/>
        <v>100</v>
      </c>
      <c r="I7">
        <v>25160</v>
      </c>
      <c r="J7" s="3">
        <v>5.7000000000000002E-3</v>
      </c>
      <c r="K7">
        <f t="shared" si="2"/>
        <v>143.41200000000001</v>
      </c>
      <c r="L7">
        <f t="shared" si="3"/>
        <v>0.74778655180665221</v>
      </c>
      <c r="M7">
        <f t="shared" si="4"/>
        <v>107.24156496769561</v>
      </c>
    </row>
    <row r="8" spans="1:13" x14ac:dyDescent="0.35">
      <c r="A8" t="s">
        <v>5</v>
      </c>
      <c r="B8">
        <v>100</v>
      </c>
      <c r="C8" s="7">
        <v>60990</v>
      </c>
      <c r="D8" s="3">
        <v>5.5999999999999999E-3</v>
      </c>
      <c r="E8">
        <f t="shared" si="5"/>
        <v>341.54399999999998</v>
      </c>
      <c r="F8">
        <f t="shared" si="0"/>
        <v>0.29278804487855153</v>
      </c>
      <c r="G8">
        <f t="shared" si="1"/>
        <v>100</v>
      </c>
      <c r="I8">
        <v>56520</v>
      </c>
      <c r="J8" s="3">
        <v>5.7000000000000002E-3</v>
      </c>
      <c r="K8">
        <f t="shared" si="2"/>
        <v>322.16399999999999</v>
      </c>
      <c r="L8">
        <f t="shared" si="3"/>
        <v>0.29278804487855153</v>
      </c>
      <c r="M8">
        <f t="shared" si="4"/>
        <v>94.32576769025367</v>
      </c>
    </row>
    <row r="9" spans="1:13" x14ac:dyDescent="0.35">
      <c r="A9" s="4" t="s">
        <v>10</v>
      </c>
      <c r="G9" s="5">
        <f>SUM(G2:G8)</f>
        <v>1000</v>
      </c>
      <c r="M9" s="9">
        <f>SUM(M2:M8)</f>
        <v>1026.6568177451225</v>
      </c>
    </row>
    <row r="10" spans="1:13" x14ac:dyDescent="0.35">
      <c r="D10" s="1" t="s">
        <v>7</v>
      </c>
    </row>
    <row r="11" spans="1:13" x14ac:dyDescent="0.35">
      <c r="D11" s="2" t="s">
        <v>8</v>
      </c>
    </row>
    <row r="12" spans="1:13" x14ac:dyDescent="0.35">
      <c r="D1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backup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Pfaller  , Oliver</dc:creator>
  <cp:lastModifiedBy>Pfaller  , Oliver</cp:lastModifiedBy>
  <dcterms:created xsi:type="dcterms:W3CDTF">2025-11-04T15:38:17Z</dcterms:created>
  <dcterms:modified xsi:type="dcterms:W3CDTF">2025-11-04T16:14:20Z</dcterms:modified>
</cp:coreProperties>
</file>